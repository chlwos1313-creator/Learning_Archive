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AD692236-B8E2-4ACB-A7A1-0C2C9A3756EB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차트'!$A$1:$W$43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2" l="1"/>
  <c r="F34" i="2" s="1"/>
  <c r="E34" i="2"/>
  <c r="E33" i="2"/>
  <c r="D33" i="2"/>
  <c r="F33" i="2" s="1"/>
  <c r="E32" i="2"/>
  <c r="D32" i="2"/>
  <c r="F32" i="2" s="1"/>
  <c r="E31" i="2"/>
  <c r="D31" i="2"/>
  <c r="F31" i="2" s="1"/>
  <c r="D29" i="2"/>
  <c r="F29" i="2" s="1"/>
  <c r="E29" i="2"/>
  <c r="E28" i="2"/>
  <c r="D28" i="2"/>
  <c r="F28" i="2" s="1"/>
  <c r="E27" i="2"/>
  <c r="D27" i="2"/>
  <c r="F27" i="2" s="1"/>
  <c r="E26" i="2"/>
  <c r="D26" i="2"/>
  <c r="F26" i="2" s="1"/>
  <c r="E24" i="2"/>
  <c r="D24" i="2"/>
  <c r="F24" i="2" s="1"/>
  <c r="E23" i="2"/>
  <c r="D23" i="2"/>
  <c r="F23" i="2" s="1"/>
  <c r="E22" i="2"/>
  <c r="D22" i="2"/>
  <c r="F22" i="2" s="1"/>
  <c r="E21" i="2"/>
  <c r="D21" i="2"/>
  <c r="F21" i="2" s="1"/>
  <c r="E19" i="2"/>
  <c r="D19" i="2"/>
  <c r="F19" i="2" s="1"/>
  <c r="E18" i="2"/>
  <c r="D18" i="2"/>
  <c r="F18" i="2" s="1"/>
  <c r="E17" i="2"/>
  <c r="D17" i="2"/>
  <c r="F17" i="2" s="1"/>
  <c r="E16" i="2"/>
  <c r="D16" i="2"/>
  <c r="F16" i="2" s="1"/>
  <c r="E14" i="2"/>
  <c r="D14" i="2"/>
  <c r="F14" i="2" s="1"/>
  <c r="E13" i="2"/>
  <c r="D13" i="2"/>
  <c r="F13" i="2" s="1"/>
  <c r="E12" i="2"/>
  <c r="D12" i="2"/>
  <c r="F12" i="2" s="1"/>
  <c r="E11" i="2"/>
  <c r="D11" i="2"/>
  <c r="F11" i="2" s="1"/>
  <c r="E33" i="3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D11" i="3"/>
  <c r="F11" i="3" s="1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H5" i="2"/>
  <c r="E5" i="2"/>
</calcChain>
</file>

<file path=xl/sharedStrings.xml><?xml version="1.0" encoding="utf-8"?>
<sst xmlns="http://schemas.openxmlformats.org/spreadsheetml/2006/main" count="369" uniqueCount="192">
  <si>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</si>
  <si>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</si>
  <si>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</si>
  <si>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</si>
  <si>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</si>
  <si>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</si>
  <si>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</si>
  <si>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</si>
  <si>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</si>
  <si>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</si>
  <si>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</si>
  <si>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</si>
  <si>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</si>
  <si>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</si>
  <si>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</si>
  <si>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</si>
  <si>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</si>
  <si>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</si>
  <si>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</si>
  <si>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</si>
  <si>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</si>
  <si>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</si>
  <si>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</si>
  <si>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</si>
  <si>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</si>
  <si>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</si>
  <si>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</si>
  <si>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</si>
  <si>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</si>
  <si>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</si>
  <si>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</si>
  <si>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</si>
  <si>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</si>
  <si>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</si>
  <si>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</si>
  <si>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</si>
  <si>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</si>
  <si>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</si>
  <si>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</si>
  <si>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</si>
  <si>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</si>
  <si>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</si>
  <si>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</si>
  <si>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</si>
  <si>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</si>
  <si>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</si>
  <si>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</si>
  <si>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</si>
  <si>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</si>
  <si>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</si>
  <si>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</si>
  <si>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</si>
  <si>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</si>
  <si>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</si>
  <si>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</si>
  <si>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</si>
  <si>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</si>
  <si>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</si>
  <si>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</si>
  <si>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</si>
  <si>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</si>
  <si>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</si>
  <si>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</si>
  <si>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</si>
  <si>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</si>
  <si>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</si>
  <si>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</si>
  <si>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</si>
  <si>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</si>
  <si>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</si>
  <si>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</si>
  <si>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</si>
  <si>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</si>
  <si>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</si>
  <si>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</si>
  <si>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</si>
  <si>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</si>
  <si>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</si>
  <si>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</si>
  <si>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</si>
  <si>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</si>
  <si>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</si>
  <si>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</si>
  <si>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</si>
  <si>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</si>
  <si>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</si>
  <si>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</si>
  <si>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</si>
  <si>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</si>
  <si>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</si>
  <si>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</si>
  <si>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</si>
  <si>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</si>
  <si>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</si>
  <si>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</si>
  <si>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</si>
  <si>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</si>
  <si>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</si>
  <si>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</si>
  <si>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</si>
  <si>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</si>
  <si>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</si>
  <si>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</si>
  <si>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</si>
  <si>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</si>
  <si>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</si>
  <si>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</si>
  <si>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</si>
  <si>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</si>
  <si>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</si>
  <si>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</si>
  <si>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</si>
  <si>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</si>
  <si>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</si>
  <si>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</si>
  <si>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</si>
  <si>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</si>
  <si>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</si>
  <si>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</si>
  <si>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</si>
  <si>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</si>
  <si>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</si>
  <si>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</si>
  <si>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</si>
  <si>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</si>
  <si>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</si>
  <si>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</si>
  <si>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</si>
  <si>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</si>
  <si>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</si>
  <si>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</si>
  <si>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</si>
  <si>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</si>
  <si>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</si>
  <si>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</si>
  <si>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</si>
  <si>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</si>
  <si>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</si>
  <si>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</si>
  <si>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</si>
  <si>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</si>
  <si>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</si>
  <si>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</si>
  <si>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</si>
  <si>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</si>
  <si>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</si>
  <si>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</si>
  <si>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</si>
  <si>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</si>
  <si>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</si>
  <si>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</si>
  <si>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</si>
  <si>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</si>
  <si>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</si>
  <si>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</si>
  <si>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</si>
  <si>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</si>
  <si>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</si>
  <si>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</si>
  <si>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</si>
  <si>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</si>
  <si>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</si>
  <si>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</si>
  <si>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</si>
  <si>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</si>
  <si>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</si>
  <si>
    <t>요구사항 확정: 핵심 기능(종목 검색, 뉴스 분석, 차트, 게시판) 상세 정의.</t>
  </si>
  <si>
    <t>데이터베이스 설계(ERD): 유저, 종목, 뉴스 점수, 게시글 간의 관계 모델링.</t>
    <phoneticPr fontId="30" type="noConversion"/>
  </si>
  <si>
    <t>API 설계: 프론트엔드와 통신할 JSON 데이터 구조(DRF 기반) 정의.</t>
    <phoneticPr fontId="30" type="noConversion"/>
  </si>
  <si>
    <t>개발 환경 구축: Django 프로젝트 초기화, GitHub 레포지토리 연동, 기본 환경 설정.</t>
    <phoneticPr fontId="30" type="noConversion"/>
  </si>
  <si>
    <t>데이터 수집 스크립트: FinanceDataReader로 주가 데이터, 네이버 API로 뉴스 데이터 수집 로직 작성.</t>
    <phoneticPr fontId="30" type="noConversion"/>
  </si>
  <si>
    <t>NLP 모델 선정 및 테스트: Hugging Face의 한국어 금융 특화 모델(RoBERTa 등) 테스트 및 점수 산출 로직 검증.</t>
    <phoneticPr fontId="30" type="noConversion"/>
  </si>
  <si>
    <t>데이터 적재 자동화: 수집 → 분석 → Django ORM을 통한 DB 저장을 수행하는 배치 스크립트 구현.</t>
    <phoneticPr fontId="30" type="noConversion"/>
  </si>
  <si>
    <t>데이터 정제: 뉴스 중복 제거 및 가중치(메이저 언론사 등) 부여 로직 적용.</t>
    <phoneticPr fontId="30" type="noConversion"/>
  </si>
  <si>
    <t>인증 시스템 구현: Django Auth를 활용한 회원가입, 로그인, 마이페이지 API.</t>
    <phoneticPr fontId="30" type="noConversion"/>
  </si>
  <si>
    <t>종목 및 관심 기능: 종목 검색 기능 및 유저별 관심 종목(Watchlist) CRUD 구현.</t>
    <phoneticPr fontId="30" type="noConversion"/>
  </si>
  <si>
    <t>게시판 엔진 개발: 종목별 토론 게시판 기능(글쓰기, 댓글, 추천 등) 개발.</t>
    <phoneticPr fontId="30" type="noConversion"/>
  </si>
  <si>
    <t>감성 지수 API: 프론트엔드 차트용 시계열 데이터(주가 + 감성 점수) JSON 엔드포인트 구축.</t>
    <phoneticPr fontId="30" type="noConversion"/>
  </si>
  <si>
    <t>대시보드 UI: HTML/CSS/JS 또는 Vue.js를 활용한 레이아웃 구성.</t>
    <phoneticPr fontId="30" type="noConversion"/>
  </si>
  <si>
    <t>데이터 시각화: Chart.js나 ApexCharts를 사용하여 주가 차트와 감성 지수 라인 차트 구현.</t>
    <phoneticPr fontId="30" type="noConversion"/>
  </si>
  <si>
    <t>뉴스 추천 섹션: 감성 지수에 영향이 큰 '목표 기사' 큐레이션 화면 구현.</t>
    <phoneticPr fontId="30" type="noConversion"/>
  </si>
  <si>
    <t>상태 관리 연동: 프론트엔드에서 백엔드 API를 호출하여 실시간 데이터 반영.</t>
    <phoneticPr fontId="30" type="noConversion"/>
  </si>
  <si>
    <t>실시간 알림 로직: 감성 점수 임계치 돌파 시 대시보드 내 알림 및 로그 생성.</t>
    <phoneticPr fontId="30" type="noConversion"/>
  </si>
  <si>
    <t>성능 최적화: DB 쿼리 최적화(N+1 문제 해결) 및 대량 뉴스 처리 속도 개선.</t>
    <phoneticPr fontId="30" type="noConversion"/>
  </si>
  <si>
    <t>종합 테스트: 전체 기능(버그 수정, UI 디테일) 및 배포 환경 점검.</t>
    <phoneticPr fontId="30" type="noConversion"/>
  </si>
  <si>
    <t>최종 결과 정리: README 작성 및 기술 블로그/포트폴리오용 문서화.</t>
    <phoneticPr fontId="30" type="noConversion"/>
  </si>
  <si>
    <t>블랙제니</t>
    <phoneticPr fontId="30" type="noConversion"/>
  </si>
  <si>
    <t>주식 뉴스 센티먼트 분석 서비스</t>
    <phoneticPr fontId="30" type="noConversion"/>
  </si>
  <si>
    <t>최재현</t>
    <phoneticPr fontId="30" type="noConversion"/>
  </si>
  <si>
    <t>홍정민</t>
    <phoneticPr fontId="30" type="noConversion"/>
  </si>
  <si>
    <t>5.4</t>
  </si>
  <si>
    <t>Week 1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</si>
</sst>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mm\-dd"/>
  </numFmts>
  <fonts count="31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7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176" fontId="17" fillId="0" borderId="0" xfId="0" applyNumberFormat="1" applyFont="1" applyAlignment="1">
      <alignment horizontal="left" vertical="center"/>
    </xf>
    <xf numFmtId="176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6" fontId="16" fillId="0" borderId="0" xfId="0" applyNumberFormat="1" applyFont="1" applyAlignment="1">
      <alignment vertical="center"/>
    </xf>
    <xf numFmtId="14" fontId="16" fillId="0" borderId="0" xfId="0" applyNumberFormat="1" applyFont="1" applyAlignment="1">
      <alignment vertical="center"/>
    </xf>
  </cellXfs>
  <cellStyles count="1">
    <cellStyle name="표준" xfId="0" builtinId="0"/>
  </cellStyles>
  <dxfs count="131"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topLeftCell="A10" zoomScaleNormal="100" workbookViewId="0">
      <selection activeCell="C12" sqref="C12"/>
    </sheetView>
  </sheetViews>
  <sheetFormatPr defaultColWidth="8.4257812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29" t="s">
        <v>0</v>
      </c>
      <c r="C2" s="29"/>
    </row>
    <row r="3" spans="2:3" ht="16.5">
      <c r="B3" s="30" t="s">
        <v>165</v>
      </c>
      <c r="C3" s="30"/>
    </row>
    <row r="5" spans="2:3" ht="24" customHeight="1">
      <c r="B5" s="28" t="s">
        <v>1</v>
      </c>
      <c r="C5" s="28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28" t="s">
        <v>5</v>
      </c>
      <c r="C10" s="28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28" t="s">
        <v>20</v>
      </c>
      <c r="C19" s="28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28" t="s">
        <v>37</v>
      </c>
      <c r="C29" s="28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28" t="s">
        <v>48</v>
      </c>
      <c r="C36" s="28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28" t="s">
        <v>57</v>
      </c>
      <c r="C44" s="28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showGridLines="0" tabSelected="1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AA34" sqref="AA34"/>
    </sheetView>
  </sheetViews>
  <sheetFormatPr defaultColWidth="8.42578125" defaultRowHeight="15"/>
  <cols>
    <col min="1" max="1" width="8" customWidth="1"/>
    <col min="2" max="2" width="97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 t="s">
        <v>186</v>
      </c>
      <c r="C3" s="40"/>
      <c r="D3" s="40"/>
      <c r="E3" s="40"/>
      <c r="F3" s="40"/>
      <c r="G3" s="8" t="s">
        <v>68</v>
      </c>
      <c r="H3" s="40" t="s">
        <v>188</v>
      </c>
      <c r="I3" s="40"/>
    </row>
    <row r="4" spans="1:23" ht="16.5">
      <c r="A4" s="8" t="s">
        <v>69</v>
      </c>
      <c r="B4" s="40" t="s">
        <v>187</v>
      </c>
      <c r="C4" s="40"/>
      <c r="D4" s="40"/>
      <c r="E4" s="40"/>
      <c r="F4" s="40"/>
      <c r="G4" s="8" t="s">
        <v>70</v>
      </c>
      <c r="H4" s="43">
        <v>46153</v>
      </c>
      <c r="I4" s="40"/>
    </row>
    <row r="5" spans="1:23" ht="16.5">
      <c r="A5" s="9" t="s">
        <v>71</v>
      </c>
      <c r="B5" s="35">
        <v>46153</v>
      </c>
      <c r="C5" s="35"/>
      <c r="D5" s="9" t="s">
        <v>72</v>
      </c>
      <c r="E5" s="35">
        <f>IF(B5="","",B5+13)</f>
        <v>46166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191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17" t="s">
        <v>166</v>
      </c>
      <c r="C11" s="16" t="s">
        <v>188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0</v>
      </c>
      <c r="H11" s="25" t="s">
        <v>107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167</v>
      </c>
      <c r="C12" s="16" t="s">
        <v>188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0</v>
      </c>
      <c r="H12" s="25" t="s">
        <v>107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168</v>
      </c>
      <c r="C13" s="16" t="s">
        <v>189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0</v>
      </c>
      <c r="H13" s="25" t="s">
        <v>107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17" t="s">
        <v>169</v>
      </c>
      <c r="C14" s="16" t="s">
        <v>189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0</v>
      </c>
      <c r="H14" s="25" t="s">
        <v>107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170</v>
      </c>
      <c r="C16" s="16" t="s">
        <v>188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0</v>
      </c>
      <c r="H16" s="25" t="s">
        <v>107</v>
      </c>
      <c r="I16" s="16">
        <v>1.4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171</v>
      </c>
      <c r="C17" s="16" t="s">
        <v>188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</v>
      </c>
      <c r="H17" s="25" t="s">
        <v>107</v>
      </c>
      <c r="I17" s="16">
        <v>2.1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172</v>
      </c>
      <c r="C18" s="16" t="s">
        <v>189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</v>
      </c>
      <c r="H18" s="25" t="s">
        <v>107</v>
      </c>
      <c r="I18" s="16">
        <v>2.1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173</v>
      </c>
      <c r="C19" s="16" t="s">
        <v>189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</v>
      </c>
      <c r="H19" s="25" t="s">
        <v>107</v>
      </c>
      <c r="I19" s="16">
        <v>2.2999999999999998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3" t="s">
        <v>100</v>
      </c>
      <c r="B20" s="14" t="s">
        <v>101</v>
      </c>
      <c r="C20" s="13"/>
      <c r="D20" s="13"/>
      <c r="E20" s="13"/>
      <c r="F20" s="13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21.75" customHeight="1">
      <c r="A21" s="16" t="s">
        <v>143</v>
      </c>
      <c r="B21" s="17" t="s">
        <v>174</v>
      </c>
      <c r="C21" s="16" t="s">
        <v>188</v>
      </c>
      <c r="D21" s="26">
        <f>$B$5+2</f>
        <v>46155</v>
      </c>
      <c r="E21" s="26">
        <f>$B$5+2</f>
        <v>46155</v>
      </c>
      <c r="F21" s="27">
        <f>IF(AND(D21&lt;&gt;"",E21&lt;&gt;""),E21-D21+1,"")</f>
        <v>1</v>
      </c>
      <c r="G21" s="18">
        <v>0</v>
      </c>
      <c r="H21" s="25" t="s">
        <v>107</v>
      </c>
      <c r="I21" s="16">
        <v>1.4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21.75" customHeight="1">
      <c r="A22" s="16" t="s">
        <v>145</v>
      </c>
      <c r="B22" s="17" t="s">
        <v>175</v>
      </c>
      <c r="C22" s="16" t="s">
        <v>188</v>
      </c>
      <c r="D22" s="26">
        <f>$B$5+3</f>
        <v>46156</v>
      </c>
      <c r="E22" s="26">
        <f>$B$5+4</f>
        <v>46157</v>
      </c>
      <c r="F22" s="27">
        <f>IF(AND(D22&lt;&gt;"",E22&lt;&gt;""),E22-D22+1,"")</f>
        <v>2</v>
      </c>
      <c r="G22" s="18">
        <v>0</v>
      </c>
      <c r="H22" s="25" t="s">
        <v>107</v>
      </c>
      <c r="I22" s="16">
        <v>3.1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147</v>
      </c>
      <c r="B23" s="17" t="s">
        <v>176</v>
      </c>
      <c r="C23" s="16" t="s">
        <v>189</v>
      </c>
      <c r="D23" s="26">
        <f>$B$5+4</f>
        <v>46157</v>
      </c>
      <c r="E23" s="26">
        <f>$B$5+6</f>
        <v>46159</v>
      </c>
      <c r="F23" s="27">
        <f>IF(AND(D23&lt;&gt;"",E23&lt;&gt;""),E23-D23+1,"")</f>
        <v>3</v>
      </c>
      <c r="G23" s="18">
        <v>0</v>
      </c>
      <c r="H23" s="25" t="s">
        <v>107</v>
      </c>
      <c r="I23" s="16">
        <v>3.2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150</v>
      </c>
      <c r="B24" s="17" t="s">
        <v>177</v>
      </c>
      <c r="C24" s="16" t="s">
        <v>189</v>
      </c>
      <c r="D24" s="26">
        <f>$B$5+6</f>
        <v>46159</v>
      </c>
      <c r="E24" s="26">
        <f>$B$5+8</f>
        <v>46161</v>
      </c>
      <c r="F24" s="27">
        <f>IF(AND(D24&lt;&gt;"",E24&lt;&gt;""),E24-D24+1,"")</f>
        <v>3</v>
      </c>
      <c r="G24" s="18">
        <v>0</v>
      </c>
      <c r="H24" s="25" t="s">
        <v>107</v>
      </c>
      <c r="I24" s="16">
        <v>3.3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3" t="s">
        <v>102</v>
      </c>
      <c r="B25" s="14" t="s">
        <v>103</v>
      </c>
      <c r="C25" s="13"/>
      <c r="D25" s="13"/>
      <c r="E25" s="13"/>
      <c r="F25" s="13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21.75" customHeight="1">
      <c r="A26" s="16" t="s">
        <v>152</v>
      </c>
      <c r="B26" s="17" t="s">
        <v>178</v>
      </c>
      <c r="C26" s="16" t="s">
        <v>188</v>
      </c>
      <c r="D26" s="26">
        <f>$B$5+8</f>
        <v>46161</v>
      </c>
      <c r="E26" s="26">
        <f>$B$5+10</f>
        <v>46163</v>
      </c>
      <c r="F26" s="27">
        <f>IF(AND(D26&lt;&gt;"",E26&lt;&gt;""),E26-D26+1,"")</f>
        <v>3</v>
      </c>
      <c r="G26" s="18">
        <v>0</v>
      </c>
      <c r="H26" s="25" t="s">
        <v>107</v>
      </c>
      <c r="I26" s="16">
        <v>3.4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21.75" customHeight="1">
      <c r="A27" s="16" t="s">
        <v>155</v>
      </c>
      <c r="B27" s="17" t="s">
        <v>179</v>
      </c>
      <c r="C27" s="16" t="s">
        <v>188</v>
      </c>
      <c r="D27" s="26">
        <f>$B$5+10</f>
        <v>46163</v>
      </c>
      <c r="E27" s="26">
        <f>$B$5+11</f>
        <v>46164</v>
      </c>
      <c r="F27" s="27">
        <f>IF(AND(D27&lt;&gt;"",E27&lt;&gt;""),E27-D27+1,"")</f>
        <v>2</v>
      </c>
      <c r="G27" s="18">
        <v>0</v>
      </c>
      <c r="H27" s="25" t="s">
        <v>107</v>
      </c>
      <c r="I27" s="16">
        <v>4.0999999999999996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157</v>
      </c>
      <c r="B28" s="17" t="s">
        <v>180</v>
      </c>
      <c r="C28" s="16" t="s">
        <v>189</v>
      </c>
      <c r="D28" s="26">
        <f>$B$5+11</f>
        <v>46164</v>
      </c>
      <c r="E28" s="26">
        <f>$B$5+12</f>
        <v>46165</v>
      </c>
      <c r="F28" s="27">
        <f>IF(AND(D28&lt;&gt;"",E28&lt;&gt;""),E28-D28+1,"")</f>
        <v>2</v>
      </c>
      <c r="G28" s="18">
        <v>0</v>
      </c>
      <c r="H28" s="25" t="s">
        <v>107</v>
      </c>
      <c r="I28" s="16">
        <v>4.2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>
        <v>4.4000000000000004</v>
      </c>
      <c r="B29" s="17" t="s">
        <v>181</v>
      </c>
      <c r="C29" s="16" t="s">
        <v>189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>
        <v>4.2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17" t="s">
        <v>182</v>
      </c>
      <c r="C31" s="16" t="s">
        <v>188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>
        <v>4.2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17" t="s">
        <v>183</v>
      </c>
      <c r="C32" s="16" t="s">
        <v>188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>
        <v>5.0999999999999996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17" t="s">
        <v>184</v>
      </c>
      <c r="C33" s="16" t="s">
        <v>189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>
        <v>5.2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21.75" customHeight="1">
      <c r="A34" s="16" t="s">
        <v>190</v>
      </c>
      <c r="B34" s="17" t="s">
        <v>185</v>
      </c>
      <c r="C34" s="16" t="s">
        <v>189</v>
      </c>
      <c r="D34" s="26">
        <f>$B$5+13</f>
        <v>46166</v>
      </c>
      <c r="E34" s="26">
        <f>$B$5+13</f>
        <v>46166</v>
      </c>
      <c r="F34" s="27">
        <f>IF(AND(D34&lt;&gt;"",E34&lt;&gt;""),E34-D34+1,"")</f>
        <v>1</v>
      </c>
      <c r="G34" s="18">
        <v>0</v>
      </c>
      <c r="H34" s="25" t="s">
        <v>107</v>
      </c>
      <c r="I34" s="16">
        <v>5.3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7" spans="1:23" ht="15.75">
      <c r="A37" s="34" t="s">
        <v>106</v>
      </c>
      <c r="B37" s="34"/>
      <c r="C37" s="34"/>
      <c r="D37" s="34"/>
    </row>
    <row r="38" spans="1:23">
      <c r="A38" s="19" t="s">
        <v>107</v>
      </c>
      <c r="B38" s="31" t="s">
        <v>39</v>
      </c>
      <c r="C38" s="31"/>
      <c r="D38" s="31"/>
      <c r="E38" s="31"/>
      <c r="F38" s="31"/>
      <c r="G38" s="31"/>
      <c r="H38" s="31"/>
      <c r="I38" s="31"/>
    </row>
    <row r="39" spans="1:23">
      <c r="A39" s="20" t="s">
        <v>108</v>
      </c>
      <c r="B39" s="31" t="s">
        <v>109</v>
      </c>
      <c r="C39" s="31"/>
      <c r="D39" s="31"/>
      <c r="E39" s="31"/>
      <c r="F39" s="31"/>
      <c r="G39" s="31"/>
      <c r="H39" s="31"/>
      <c r="I39" s="31"/>
    </row>
    <row r="40" spans="1:23">
      <c r="A40" s="21" t="s">
        <v>110</v>
      </c>
      <c r="B40" s="31" t="s">
        <v>111</v>
      </c>
      <c r="C40" s="31"/>
      <c r="D40" s="31"/>
      <c r="E40" s="31"/>
      <c r="F40" s="31"/>
      <c r="G40" s="31"/>
      <c r="H40" s="31"/>
      <c r="I40" s="31"/>
    </row>
    <row r="41" spans="1:23">
      <c r="A41" s="22" t="s">
        <v>112</v>
      </c>
      <c r="B41" s="31" t="s">
        <v>113</v>
      </c>
      <c r="C41" s="31"/>
      <c r="D41" s="31"/>
      <c r="E41" s="31"/>
      <c r="F41" s="31"/>
      <c r="G41" s="31"/>
      <c r="H41" s="31"/>
      <c r="I41" s="31"/>
    </row>
    <row r="42" spans="1:23">
      <c r="A42" s="23" t="s">
        <v>114</v>
      </c>
      <c r="B42" s="31" t="s">
        <v>115</v>
      </c>
      <c r="C42" s="31"/>
      <c r="D42" s="31"/>
      <c r="E42" s="31"/>
      <c r="F42" s="31"/>
      <c r="G42" s="31"/>
      <c r="H42" s="31"/>
      <c r="I42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40:I40"/>
    <mergeCell ref="B41:I41"/>
    <mergeCell ref="B42:I42"/>
    <mergeCell ref="Q7:W7"/>
    <mergeCell ref="A9:I9"/>
    <mergeCell ref="A37:D37"/>
    <mergeCell ref="B38:I38"/>
    <mergeCell ref="B39:I39"/>
  </mergeCells>
  <phoneticPr fontId="30" type="noConversion"/>
  <conditionalFormatting sqref="G10 G15 G20 G25 G30">
    <cfRule type="colorScale" priority="13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 H15 H20 H25 H30">
    <cfRule type="cellIs" dxfId="130" priority="128" operator="equal">
      <formula>"시작 전"</formula>
    </cfRule>
    <cfRule type="cellIs" dxfId="129" priority="129" operator="equal">
      <formula>"진행 중"</formula>
    </cfRule>
    <cfRule type="cellIs" dxfId="128" priority="130" operator="equal">
      <formula>"주의"</formula>
    </cfRule>
    <cfRule type="cellIs" dxfId="127" priority="131" operator="equal">
      <formula>"지연"</formula>
    </cfRule>
    <cfRule type="cellIs" dxfId="126" priority="132" operator="equal">
      <formula>"완료"</formula>
    </cfRule>
  </conditionalFormatting>
  <conditionalFormatting sqref="J9:W9">
    <cfRule type="expression" dxfId="125" priority="140">
      <formula>J$9=TODAY()</formula>
    </cfRule>
    <cfRule type="expression" dxfId="124" priority="141">
      <formula>OR(WEEKDAY(J$9,2)=6,WEEKDAY(J$9,2)=7)</formula>
    </cfRule>
  </conditionalFormatting>
  <conditionalFormatting sqref="J10:W34">
    <cfRule type="expression" dxfId="123" priority="134">
      <formula>AND($D10&lt;&gt;"",$E10&lt;&gt;"",J$9&gt;=$D10,J$9&lt;=$E10,$H10="완료")</formula>
    </cfRule>
    <cfRule type="expression" dxfId="122" priority="135">
      <formula>AND($D10&lt;&gt;"",$E10&lt;&gt;"",J$9&gt;=$D10,J$9&lt;=$E10,$H10="진행 중")</formula>
    </cfRule>
    <cfRule type="expression" dxfId="121" priority="136">
      <formula>AND($D10&lt;&gt;"",$E10&lt;&gt;"",J$9&gt;=$D10,J$9&lt;=$E10,$H10="주의")</formula>
    </cfRule>
    <cfRule type="expression" dxfId="120" priority="137">
      <formula>AND($D10&lt;&gt;"",$E10&lt;&gt;"",J$9&gt;=$D10,J$9&lt;=$E10,$H10="지연")</formula>
    </cfRule>
    <cfRule type="expression" dxfId="119" priority="138">
      <formula>AND($D10&lt;&gt;"",$E10&lt;&gt;"",J$9&gt;=$D10,J$9&lt;=$E10,$H10="시작 전")</formula>
    </cfRule>
    <cfRule type="expression" dxfId="118" priority="139">
      <formula>AND($D10&lt;&gt;"",$E10&lt;&gt;"",J$9&gt;=$D10,J$9&lt;=$E10)</formula>
    </cfRule>
  </conditionalFormatting>
  <conditionalFormatting sqref="G16">
    <cfRule type="colorScale" priority="1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6">
    <cfRule type="cellIs" dxfId="99" priority="115" operator="equal">
      <formula>"시작 전"</formula>
    </cfRule>
    <cfRule type="cellIs" dxfId="98" priority="116" operator="equal">
      <formula>"진행 중"</formula>
    </cfRule>
    <cfRule type="cellIs" dxfId="97" priority="117" operator="equal">
      <formula>"주의"</formula>
    </cfRule>
    <cfRule type="cellIs" dxfId="96" priority="118" operator="equal">
      <formula>"지연"</formula>
    </cfRule>
    <cfRule type="cellIs" dxfId="95" priority="119" operator="equal">
      <formula>"완료"</formula>
    </cfRule>
  </conditionalFormatting>
  <conditionalFormatting sqref="G17">
    <cfRule type="colorScale" priority="11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7">
    <cfRule type="cellIs" dxfId="94" priority="109" operator="equal">
      <formula>"시작 전"</formula>
    </cfRule>
    <cfRule type="cellIs" dxfId="93" priority="110" operator="equal">
      <formula>"진행 중"</formula>
    </cfRule>
    <cfRule type="cellIs" dxfId="92" priority="111" operator="equal">
      <formula>"주의"</formula>
    </cfRule>
    <cfRule type="cellIs" dxfId="91" priority="112" operator="equal">
      <formula>"지연"</formula>
    </cfRule>
    <cfRule type="cellIs" dxfId="90" priority="113" operator="equal">
      <formula>"완료"</formula>
    </cfRule>
  </conditionalFormatting>
  <conditionalFormatting sqref="G18">
    <cfRule type="colorScale" priority="10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8">
    <cfRule type="cellIs" dxfId="89" priority="103" operator="equal">
      <formula>"시작 전"</formula>
    </cfRule>
    <cfRule type="cellIs" dxfId="88" priority="104" operator="equal">
      <formula>"진행 중"</formula>
    </cfRule>
    <cfRule type="cellIs" dxfId="87" priority="105" operator="equal">
      <formula>"주의"</formula>
    </cfRule>
    <cfRule type="cellIs" dxfId="86" priority="106" operator="equal">
      <formula>"지연"</formula>
    </cfRule>
    <cfRule type="cellIs" dxfId="85" priority="107" operator="equal">
      <formula>"완료"</formula>
    </cfRule>
  </conditionalFormatting>
  <conditionalFormatting sqref="G19">
    <cfRule type="colorScale" priority="10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9">
    <cfRule type="cellIs" dxfId="84" priority="97" operator="equal">
      <formula>"시작 전"</formula>
    </cfRule>
    <cfRule type="cellIs" dxfId="83" priority="98" operator="equal">
      <formula>"진행 중"</formula>
    </cfRule>
    <cfRule type="cellIs" dxfId="82" priority="99" operator="equal">
      <formula>"주의"</formula>
    </cfRule>
    <cfRule type="cellIs" dxfId="81" priority="100" operator="equal">
      <formula>"지연"</formula>
    </cfRule>
    <cfRule type="cellIs" dxfId="80" priority="101" operator="equal">
      <formula>"완료"</formula>
    </cfRule>
  </conditionalFormatting>
  <conditionalFormatting sqref="G21"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1">
    <cfRule type="cellIs" dxfId="79" priority="91" operator="equal">
      <formula>"시작 전"</formula>
    </cfRule>
    <cfRule type="cellIs" dxfId="78" priority="92" operator="equal">
      <formula>"진행 중"</formula>
    </cfRule>
    <cfRule type="cellIs" dxfId="77" priority="93" operator="equal">
      <formula>"주의"</formula>
    </cfRule>
    <cfRule type="cellIs" dxfId="76" priority="94" operator="equal">
      <formula>"지연"</formula>
    </cfRule>
    <cfRule type="cellIs" dxfId="75" priority="95" operator="equal">
      <formula>"완료"</formula>
    </cfRule>
  </conditionalFormatting>
  <conditionalFormatting sqref="G22">
    <cfRule type="colorScale" priority="9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2">
    <cfRule type="cellIs" dxfId="74" priority="85" operator="equal">
      <formula>"시작 전"</formula>
    </cfRule>
    <cfRule type="cellIs" dxfId="73" priority="86" operator="equal">
      <formula>"진행 중"</formula>
    </cfRule>
    <cfRule type="cellIs" dxfId="72" priority="87" operator="equal">
      <formula>"주의"</formula>
    </cfRule>
    <cfRule type="cellIs" dxfId="71" priority="88" operator="equal">
      <formula>"지연"</formula>
    </cfRule>
    <cfRule type="cellIs" dxfId="70" priority="89" operator="equal">
      <formula>"완료"</formula>
    </cfRule>
  </conditionalFormatting>
  <conditionalFormatting sqref="G23">
    <cfRule type="colorScale" priority="8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3">
    <cfRule type="cellIs" dxfId="69" priority="79" operator="equal">
      <formula>"시작 전"</formula>
    </cfRule>
    <cfRule type="cellIs" dxfId="68" priority="80" operator="equal">
      <formula>"진행 중"</formula>
    </cfRule>
    <cfRule type="cellIs" dxfId="67" priority="81" operator="equal">
      <formula>"주의"</formula>
    </cfRule>
    <cfRule type="cellIs" dxfId="66" priority="82" operator="equal">
      <formula>"지연"</formula>
    </cfRule>
    <cfRule type="cellIs" dxfId="65" priority="83" operator="equal">
      <formula>"완료"</formula>
    </cfRule>
  </conditionalFormatting>
  <conditionalFormatting sqref="G24">
    <cfRule type="colorScale" priority="7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4">
    <cfRule type="cellIs" dxfId="64" priority="73" operator="equal">
      <formula>"시작 전"</formula>
    </cfRule>
    <cfRule type="cellIs" dxfId="63" priority="74" operator="equal">
      <formula>"진행 중"</formula>
    </cfRule>
    <cfRule type="cellIs" dxfId="62" priority="75" operator="equal">
      <formula>"주의"</formula>
    </cfRule>
    <cfRule type="cellIs" dxfId="61" priority="76" operator="equal">
      <formula>"지연"</formula>
    </cfRule>
    <cfRule type="cellIs" dxfId="60" priority="77" operator="equal">
      <formula>"완료"</formula>
    </cfRule>
  </conditionalFormatting>
  <conditionalFormatting sqref="G26">
    <cfRule type="colorScale" priority="7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6">
    <cfRule type="cellIs" dxfId="59" priority="67" operator="equal">
      <formula>"시작 전"</formula>
    </cfRule>
    <cfRule type="cellIs" dxfId="58" priority="68" operator="equal">
      <formula>"진행 중"</formula>
    </cfRule>
    <cfRule type="cellIs" dxfId="57" priority="69" operator="equal">
      <formula>"주의"</formula>
    </cfRule>
    <cfRule type="cellIs" dxfId="56" priority="70" operator="equal">
      <formula>"지연"</formula>
    </cfRule>
    <cfRule type="cellIs" dxfId="55" priority="71" operator="equal">
      <formula>"완료"</formula>
    </cfRule>
  </conditionalFormatting>
  <conditionalFormatting sqref="G27">
    <cfRule type="colorScale" priority="6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7">
    <cfRule type="cellIs" dxfId="54" priority="61" operator="equal">
      <formula>"시작 전"</formula>
    </cfRule>
    <cfRule type="cellIs" dxfId="53" priority="62" operator="equal">
      <formula>"진행 중"</formula>
    </cfRule>
    <cfRule type="cellIs" dxfId="52" priority="63" operator="equal">
      <formula>"주의"</formula>
    </cfRule>
    <cfRule type="cellIs" dxfId="51" priority="64" operator="equal">
      <formula>"지연"</formula>
    </cfRule>
    <cfRule type="cellIs" dxfId="50" priority="65" operator="equal">
      <formula>"완료"</formula>
    </cfRule>
  </conditionalFormatting>
  <conditionalFormatting sqref="G28">
    <cfRule type="colorScale" priority="6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8">
    <cfRule type="cellIs" dxfId="49" priority="55" operator="equal">
      <formula>"시작 전"</formula>
    </cfRule>
    <cfRule type="cellIs" dxfId="48" priority="56" operator="equal">
      <formula>"진행 중"</formula>
    </cfRule>
    <cfRule type="cellIs" dxfId="47" priority="57" operator="equal">
      <formula>"주의"</formula>
    </cfRule>
    <cfRule type="cellIs" dxfId="46" priority="58" operator="equal">
      <formula>"지연"</formula>
    </cfRule>
    <cfRule type="cellIs" dxfId="45" priority="59" operator="equal">
      <formula>"완료"</formula>
    </cfRule>
  </conditionalFormatting>
  <conditionalFormatting sqref="G29">
    <cfRule type="colorScale" priority="5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9">
    <cfRule type="cellIs" dxfId="44" priority="49" operator="equal">
      <formula>"시작 전"</formula>
    </cfRule>
    <cfRule type="cellIs" dxfId="43" priority="50" operator="equal">
      <formula>"진행 중"</formula>
    </cfRule>
    <cfRule type="cellIs" dxfId="42" priority="51" operator="equal">
      <formula>"주의"</formula>
    </cfRule>
    <cfRule type="cellIs" dxfId="41" priority="52" operator="equal">
      <formula>"지연"</formula>
    </cfRule>
    <cfRule type="cellIs" dxfId="40" priority="53" operator="equal">
      <formula>"완료"</formula>
    </cfRule>
  </conditionalFormatting>
  <conditionalFormatting sqref="G31">
    <cfRule type="colorScale" priority="4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1">
    <cfRule type="cellIs" dxfId="39" priority="43" operator="equal">
      <formula>"시작 전"</formula>
    </cfRule>
    <cfRule type="cellIs" dxfId="38" priority="44" operator="equal">
      <formula>"진행 중"</formula>
    </cfRule>
    <cfRule type="cellIs" dxfId="37" priority="45" operator="equal">
      <formula>"주의"</formula>
    </cfRule>
    <cfRule type="cellIs" dxfId="36" priority="46" operator="equal">
      <formula>"지연"</formula>
    </cfRule>
    <cfRule type="cellIs" dxfId="35" priority="47" operator="equal">
      <formula>"완료"</formula>
    </cfRule>
  </conditionalFormatting>
  <conditionalFormatting sqref="G32">
    <cfRule type="colorScale" priority="4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2">
    <cfRule type="cellIs" dxfId="34" priority="37" operator="equal">
      <formula>"시작 전"</formula>
    </cfRule>
    <cfRule type="cellIs" dxfId="33" priority="38" operator="equal">
      <formula>"진행 중"</formula>
    </cfRule>
    <cfRule type="cellIs" dxfId="32" priority="39" operator="equal">
      <formula>"주의"</formula>
    </cfRule>
    <cfRule type="cellIs" dxfId="31" priority="40" operator="equal">
      <formula>"지연"</formula>
    </cfRule>
    <cfRule type="cellIs" dxfId="30" priority="41" operator="equal">
      <formula>"완료"</formula>
    </cfRule>
  </conditionalFormatting>
  <conditionalFormatting sqref="G33">
    <cfRule type="colorScale" priority="3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3">
    <cfRule type="cellIs" dxfId="29" priority="31" operator="equal">
      <formula>"시작 전"</formula>
    </cfRule>
    <cfRule type="cellIs" dxfId="28" priority="32" operator="equal">
      <formula>"진행 중"</formula>
    </cfRule>
    <cfRule type="cellIs" dxfId="27" priority="33" operator="equal">
      <formula>"주의"</formula>
    </cfRule>
    <cfRule type="cellIs" dxfId="26" priority="34" operator="equal">
      <formula>"지연"</formula>
    </cfRule>
    <cfRule type="cellIs" dxfId="25" priority="35" operator="equal">
      <formula>"완료"</formula>
    </cfRule>
  </conditionalFormatting>
  <conditionalFormatting sqref="G34">
    <cfRule type="colorScale" priority="3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4">
    <cfRule type="cellIs" dxfId="24" priority="25" operator="equal">
      <formula>"시작 전"</formula>
    </cfRule>
    <cfRule type="cellIs" dxfId="23" priority="26" operator="equal">
      <formula>"진행 중"</formula>
    </cfRule>
    <cfRule type="cellIs" dxfId="22" priority="27" operator="equal">
      <formula>"주의"</formula>
    </cfRule>
    <cfRule type="cellIs" dxfId="21" priority="28" operator="equal">
      <formula>"지연"</formula>
    </cfRule>
    <cfRule type="cellIs" dxfId="20" priority="29" operator="equal">
      <formula>"완료"</formula>
    </cfRule>
  </conditionalFormatting>
  <conditionalFormatting sqref="G14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4">
    <cfRule type="cellIs" dxfId="19" priority="19" operator="equal">
      <formula>"시작 전"</formula>
    </cfRule>
    <cfRule type="cellIs" dxfId="18" priority="20" operator="equal">
      <formula>"진행 중"</formula>
    </cfRule>
    <cfRule type="cellIs" dxfId="17" priority="21" operator="equal">
      <formula>"주의"</formula>
    </cfRule>
    <cfRule type="cellIs" dxfId="16" priority="22" operator="equal">
      <formula>"지연"</formula>
    </cfRule>
    <cfRule type="cellIs" dxfId="15" priority="23" operator="equal">
      <formula>"완료"</formula>
    </cfRule>
  </conditionalFormatting>
  <conditionalFormatting sqref="G13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3">
    <cfRule type="cellIs" dxfId="14" priority="13" operator="equal">
      <formula>"시작 전"</formula>
    </cfRule>
    <cfRule type="cellIs" dxfId="13" priority="14" operator="equal">
      <formula>"진행 중"</formula>
    </cfRule>
    <cfRule type="cellIs" dxfId="12" priority="15" operator="equal">
      <formula>"주의"</formula>
    </cfRule>
    <cfRule type="cellIs" dxfId="11" priority="16" operator="equal">
      <formula>"지연"</formula>
    </cfRule>
    <cfRule type="cellIs" dxfId="10" priority="17" operator="equal">
      <formula>"완료"</formula>
    </cfRule>
  </conditionalFormatting>
  <conditionalFormatting sqref="G12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2">
    <cfRule type="cellIs" dxfId="9" priority="7" operator="equal">
      <formula>"시작 전"</formula>
    </cfRule>
    <cfRule type="cellIs" dxfId="8" priority="8" operator="equal">
      <formula>"진행 중"</formula>
    </cfRule>
    <cfRule type="cellIs" dxfId="7" priority="9" operator="equal">
      <formula>"주의"</formula>
    </cfRule>
    <cfRule type="cellIs" dxfId="6" priority="10" operator="equal">
      <formula>"지연"</formula>
    </cfRule>
    <cfRule type="cellIs" dxfId="5" priority="11" operator="equal">
      <formula>"완료"</formula>
    </cfRule>
  </conditionalFormatting>
  <conditionalFormatting sqref="G1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1">
    <cfRule type="cellIs" dxfId="4" priority="1" operator="equal">
      <formula>"시작 전"</formula>
    </cfRule>
    <cfRule type="cellIs" dxfId="3" priority="2" operator="equal">
      <formula>"진행 중"</formula>
    </cfRule>
    <cfRule type="cellIs" dxfId="2" priority="3" operator="equal">
      <formula>"주의"</formula>
    </cfRule>
    <cfRule type="cellIs" dxfId="1" priority="4" operator="equal">
      <formula>"지연"</formula>
    </cfRule>
    <cfRule type="cellIs" dxfId="0" priority="5" operator="equal">
      <formula>"완료"</formula>
    </cfRule>
  </conditionalFormatting>
  <dataValidations count="1">
    <dataValidation type="list" allowBlank="1" errorTitle="잘못된 입력" error="목록에서 선택하세요" promptTitle="상태 선택" prompt="상태를 선택하세요" sqref="H10:H34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zoomScaleNormal="100" workbookViewId="0">
      <pane xSplit="9" ySplit="9" topLeftCell="J11" activePane="bottomRight" state="frozen"/>
      <selection pane="topRight" activeCell="J1" sqref="J1"/>
      <selection pane="bottomLeft" activeCell="A10" sqref="A10"/>
      <selection pane="bottomRight" activeCell="G20" sqref="G20:H20"/>
    </sheetView>
  </sheetViews>
  <sheetFormatPr defaultColWidth="8.4257812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42578125" customWidth="1"/>
  </cols>
  <sheetData>
    <row r="1" spans="1:23" ht="31.5" customHeight="1">
      <c r="A1" s="39" t="s">
        <v>116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3" spans="1:23" ht="16.5">
      <c r="A3" s="8" t="s">
        <v>67</v>
      </c>
      <c r="B3" s="40" t="s">
        <v>117</v>
      </c>
      <c r="C3" s="40"/>
      <c r="D3" s="40"/>
      <c r="E3" s="40"/>
      <c r="F3" s="40"/>
      <c r="G3" s="8" t="s">
        <v>68</v>
      </c>
      <c r="H3" s="41" t="s">
        <v>118</v>
      </c>
      <c r="I3" s="41"/>
    </row>
    <row r="4" spans="1:23" ht="16.5">
      <c r="A4" s="8" t="s">
        <v>69</v>
      </c>
      <c r="B4" s="40" t="s">
        <v>119</v>
      </c>
      <c r="C4" s="40"/>
      <c r="D4" s="40"/>
      <c r="E4" s="40"/>
      <c r="F4" s="40"/>
      <c r="G4" s="8" t="s">
        <v>70</v>
      </c>
      <c r="H4" s="42">
        <v>46153</v>
      </c>
      <c r="I4" s="42"/>
    </row>
    <row r="5" spans="1:23" ht="16.5">
      <c r="A5" s="9" t="s">
        <v>71</v>
      </c>
      <c r="B5" s="35">
        <v>46153</v>
      </c>
      <c r="C5" s="35"/>
      <c r="D5" s="9" t="s">
        <v>72</v>
      </c>
      <c r="E5" s="35">
        <f>IF(B5="","",B5+13)</f>
        <v>46166</v>
      </c>
      <c r="F5" s="35"/>
      <c r="G5" s="8" t="s">
        <v>73</v>
      </c>
      <c r="H5" s="36">
        <f ca="1">TODAY()</f>
        <v>46150</v>
      </c>
      <c r="I5" s="36"/>
    </row>
    <row r="7" spans="1:23" ht="21.75" customHeight="1">
      <c r="A7" s="37" t="s">
        <v>74</v>
      </c>
      <c r="B7" s="37"/>
      <c r="C7" s="37"/>
      <c r="D7" s="37"/>
      <c r="E7" s="37"/>
      <c r="F7" s="37"/>
      <c r="G7" s="37"/>
      <c r="H7" s="37"/>
      <c r="I7" s="37"/>
      <c r="J7" s="38" t="s">
        <v>75</v>
      </c>
      <c r="K7" s="38"/>
      <c r="L7" s="38"/>
      <c r="M7" s="38"/>
      <c r="N7" s="38"/>
      <c r="O7" s="38"/>
      <c r="P7" s="38"/>
      <c r="Q7" s="32" t="s">
        <v>76</v>
      </c>
      <c r="R7" s="32"/>
      <c r="S7" s="32"/>
      <c r="T7" s="32"/>
      <c r="U7" s="32"/>
      <c r="V7" s="32"/>
      <c r="W7" s="32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3" t="s">
        <v>95</v>
      </c>
      <c r="B9" s="33"/>
      <c r="C9" s="33"/>
      <c r="D9" s="33"/>
      <c r="E9" s="33"/>
      <c r="F9" s="33"/>
      <c r="G9" s="33"/>
      <c r="H9" s="33"/>
      <c r="I9" s="33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24" t="s">
        <v>121</v>
      </c>
      <c r="C11" s="25" t="s">
        <v>118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123</v>
      </c>
      <c r="C12" s="25" t="s">
        <v>124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114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126</v>
      </c>
      <c r="C13" s="25" t="s">
        <v>127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114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24" t="s">
        <v>129</v>
      </c>
      <c r="C14" s="25" t="s">
        <v>130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114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132</v>
      </c>
      <c r="C16" s="25" t="s">
        <v>124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114</v>
      </c>
      <c r="I16" s="16" t="s">
        <v>122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134</v>
      </c>
      <c r="C17" s="25" t="s">
        <v>124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108</v>
      </c>
      <c r="I17" s="16" t="s">
        <v>131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136</v>
      </c>
      <c r="C18" s="25" t="s">
        <v>127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108</v>
      </c>
      <c r="I18" s="16" t="s">
        <v>137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139</v>
      </c>
      <c r="C19" s="25" t="s">
        <v>124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110</v>
      </c>
      <c r="I19" s="16" t="s">
        <v>140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141</v>
      </c>
      <c r="B20" s="24" t="s">
        <v>142</v>
      </c>
      <c r="C20" s="25" t="s">
        <v>127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107</v>
      </c>
      <c r="I20" s="16" t="s">
        <v>138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100</v>
      </c>
      <c r="B21" s="14" t="s">
        <v>101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143</v>
      </c>
      <c r="B22" s="17" t="s">
        <v>144</v>
      </c>
      <c r="C22" s="25" t="s">
        <v>130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114</v>
      </c>
      <c r="I22" s="16" t="s">
        <v>128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145</v>
      </c>
      <c r="B23" s="24" t="s">
        <v>146</v>
      </c>
      <c r="C23" s="25" t="s">
        <v>130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108</v>
      </c>
      <c r="I23" s="16" t="s">
        <v>143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147</v>
      </c>
      <c r="B24" s="24" t="s">
        <v>148</v>
      </c>
      <c r="C24" s="25" t="s">
        <v>118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108</v>
      </c>
      <c r="I24" s="16" t="s">
        <v>149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150</v>
      </c>
      <c r="B25" s="24" t="s">
        <v>151</v>
      </c>
      <c r="C25" s="25" t="s">
        <v>118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107</v>
      </c>
      <c r="I25" s="16" t="s">
        <v>147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102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152</v>
      </c>
      <c r="B27" s="17" t="s">
        <v>153</v>
      </c>
      <c r="C27" s="25" t="s">
        <v>127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107</v>
      </c>
      <c r="I27" s="16" t="s">
        <v>154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155</v>
      </c>
      <c r="B28" s="24" t="s">
        <v>156</v>
      </c>
      <c r="C28" s="25" t="s">
        <v>130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107</v>
      </c>
      <c r="I28" s="16" t="s">
        <v>152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157</v>
      </c>
      <c r="B29" s="24" t="s">
        <v>158</v>
      </c>
      <c r="C29" s="25" t="s">
        <v>124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 t="s">
        <v>155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24" t="s">
        <v>160</v>
      </c>
      <c r="C31" s="25" t="s">
        <v>118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 t="s">
        <v>155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24" t="s">
        <v>162</v>
      </c>
      <c r="C32" s="25" t="s">
        <v>130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 t="s">
        <v>159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24" t="s">
        <v>164</v>
      </c>
      <c r="C33" s="25" t="s">
        <v>118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 t="s">
        <v>161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5.75">
      <c r="A36" s="34" t="s">
        <v>106</v>
      </c>
      <c r="B36" s="34"/>
      <c r="C36" s="34"/>
      <c r="D36" s="34"/>
    </row>
    <row r="37" spans="1:23">
      <c r="A37" s="19" t="s">
        <v>107</v>
      </c>
      <c r="B37" s="31" t="s">
        <v>39</v>
      </c>
      <c r="C37" s="31"/>
      <c r="D37" s="31"/>
      <c r="E37" s="31"/>
      <c r="F37" s="31"/>
      <c r="G37" s="31"/>
      <c r="H37" s="31"/>
      <c r="I37" s="31"/>
    </row>
    <row r="38" spans="1:23">
      <c r="A38" s="20" t="s">
        <v>108</v>
      </c>
      <c r="B38" s="31" t="s">
        <v>109</v>
      </c>
      <c r="C38" s="31"/>
      <c r="D38" s="31"/>
      <c r="E38" s="31"/>
      <c r="F38" s="31"/>
      <c r="G38" s="31"/>
      <c r="H38" s="31"/>
      <c r="I38" s="31"/>
    </row>
    <row r="39" spans="1:23">
      <c r="A39" s="21" t="s">
        <v>110</v>
      </c>
      <c r="B39" s="31" t="s">
        <v>111</v>
      </c>
      <c r="C39" s="31"/>
      <c r="D39" s="31"/>
      <c r="E39" s="31"/>
      <c r="F39" s="31"/>
      <c r="G39" s="31"/>
      <c r="H39" s="31"/>
      <c r="I39" s="31"/>
    </row>
    <row r="40" spans="1:23">
      <c r="A40" s="22" t="s">
        <v>112</v>
      </c>
      <c r="B40" s="31" t="s">
        <v>113</v>
      </c>
      <c r="C40" s="31"/>
      <c r="D40" s="31"/>
      <c r="E40" s="31"/>
      <c r="F40" s="31"/>
      <c r="G40" s="31"/>
      <c r="H40" s="31"/>
      <c r="I40" s="31"/>
    </row>
    <row r="41" spans="1:23">
      <c r="A41" s="23" t="s">
        <v>114</v>
      </c>
      <c r="B41" s="31" t="s">
        <v>115</v>
      </c>
      <c r="C41" s="31"/>
      <c r="D41" s="31"/>
      <c r="E41" s="31"/>
      <c r="F41" s="31"/>
      <c r="G41" s="31"/>
      <c r="H41" s="31"/>
      <c r="I41" s="31"/>
    </row>
  </sheetData>
  <mergeCells count="18">
    <mergeCell ref="A1:W1"/>
    <mergeCell ref="B3:F3"/>
    <mergeCell ref="H3:I3"/>
    <mergeCell ref="B4:F4"/>
    <mergeCell ref="H4:I4"/>
    <mergeCell ref="B5:C5"/>
    <mergeCell ref="E5:F5"/>
    <mergeCell ref="H5:I5"/>
    <mergeCell ref="A7:I7"/>
    <mergeCell ref="J7:P7"/>
    <mergeCell ref="B39:I39"/>
    <mergeCell ref="B40:I40"/>
    <mergeCell ref="B41:I41"/>
    <mergeCell ref="Q7:W7"/>
    <mergeCell ref="A9:I9"/>
    <mergeCell ref="A36:D36"/>
    <mergeCell ref="B37:I37"/>
    <mergeCell ref="B38:I38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117" priority="2" operator="equal">
      <formula>"시작 전"</formula>
    </cfRule>
    <cfRule type="cellIs" dxfId="116" priority="3" operator="equal">
      <formula>"진행 중"</formula>
    </cfRule>
    <cfRule type="cellIs" dxfId="115" priority="4" operator="equal">
      <formula>"주의"</formula>
    </cfRule>
    <cfRule type="cellIs" dxfId="114" priority="5" operator="equal">
      <formula>"지연"</formula>
    </cfRule>
    <cfRule type="cellIs" dxfId="113" priority="6" operator="equal">
      <formula>"완료"</formula>
    </cfRule>
  </conditionalFormatting>
  <conditionalFormatting sqref="J9:W9">
    <cfRule type="expression" dxfId="112" priority="14">
      <formula>J$9=TODAY()</formula>
    </cfRule>
    <cfRule type="expression" dxfId="111" priority="15">
      <formula>OR(WEEKDAY(J$9,2)=6,WEEKDAY(J$9,2)=7)</formula>
    </cfRule>
  </conditionalFormatting>
  <conditionalFormatting sqref="J10:W33">
    <cfRule type="expression" dxfId="110" priority="8">
      <formula>AND($D10&lt;&gt;"",$E10&lt;&gt;"",J$9&gt;=$D10,J$9&lt;=$E10,$H10="완료")</formula>
    </cfRule>
    <cfRule type="expression" dxfId="109" priority="9">
      <formula>AND($D10&lt;&gt;"",$E10&lt;&gt;"",J$9&gt;=$D10,J$9&lt;=$E10,$H10="진행 중")</formula>
    </cfRule>
    <cfRule type="expression" dxfId="108" priority="10">
      <formula>AND($D10&lt;&gt;"",$E10&lt;&gt;"",J$9&gt;=$D10,J$9&lt;=$E10,$H10="주의")</formula>
    </cfRule>
    <cfRule type="expression" dxfId="107" priority="11">
      <formula>AND($D10&lt;&gt;"",$E10&lt;&gt;"",J$9&gt;=$D10,J$9&lt;=$E10,$H10="지연")</formula>
    </cfRule>
    <cfRule type="expression" dxfId="106" priority="12">
      <formula>AND($D10&lt;&gt;"",$E10&lt;&gt;"",J$9&gt;=$D10,J$9&lt;=$E10,$H10="시작 전")</formula>
    </cfRule>
    <cfRule type="expression" dxfId="105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SSAFY</cp:lastModifiedBy>
  <cp:revision>0</cp:revision>
  <dcterms:created xsi:type="dcterms:W3CDTF">2026-05-06T03:18:14Z</dcterms:created>
  <dcterms:modified xsi:type="dcterms:W3CDTF">2026-05-08T06:23:29Z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